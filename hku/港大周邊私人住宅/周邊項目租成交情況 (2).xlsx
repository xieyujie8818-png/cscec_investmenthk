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jie.xie\.cursor\cohl-marketing\hku\港大周邊私人住宅\"/>
    </mc:Choice>
  </mc:AlternateContent>
  <xr:revisionPtr revIDLastSave="0" documentId="13_ncr:1_{080B84DC-BB40-4358-8444-A29C1891B6E9}" xr6:coauthVersionLast="47" xr6:coauthVersionMax="47" xr10:uidLastSave="{00000000-0000-0000-0000-000000000000}"/>
  <bookViews>
    <workbookView xWindow="8820" yWindow="1080" windowWidth="19980" windowHeight="14730" xr2:uid="{525C39C1-E43D-4EE1-81B4-3DDEF5FF7E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<sst xmlns="http://schemas.openxmlformats.org/spreadsheetml/2006/main" count="84" uniqueCount="55">
  <si>
    <t>序號</t>
    <phoneticPr fontId="2" type="noConversion"/>
  </si>
  <si>
    <t>項目</t>
    <phoneticPr fontId="2" type="noConversion"/>
  </si>
  <si>
    <t>成交時間</t>
    <phoneticPr fontId="2" type="noConversion"/>
  </si>
  <si>
    <t>單位</t>
    <phoneticPr fontId="2" type="noConversion"/>
  </si>
  <si>
    <t>樓層</t>
    <phoneticPr fontId="2" type="noConversion"/>
  </si>
  <si>
    <t>單位編號</t>
    <phoneticPr fontId="2" type="noConversion"/>
  </si>
  <si>
    <t>戶型</t>
    <phoneticPr fontId="2" type="noConversion"/>
  </si>
  <si>
    <t>實用面積</t>
    <phoneticPr fontId="2" type="noConversion"/>
  </si>
  <si>
    <t>樓齡</t>
    <phoneticPr fontId="2" type="noConversion"/>
  </si>
  <si>
    <t>租金</t>
  </si>
  <si>
    <t>實用呎租</t>
    <phoneticPr fontId="2" type="noConversion"/>
  </si>
  <si>
    <t>特殊呎租（實用呎租*1.1）</t>
    <phoneticPr fontId="2" type="noConversion"/>
  </si>
  <si>
    <t>吉喆</t>
    <phoneticPr fontId="2" type="noConversion"/>
  </si>
  <si>
    <t>翰林峰</t>
    <phoneticPr fontId="2" type="noConversion"/>
  </si>
  <si>
    <t>Kennedy 38</t>
    <phoneticPr fontId="2" type="noConversion"/>
  </si>
  <si>
    <t>嘉林閣</t>
    <phoneticPr fontId="2" type="noConversion"/>
  </si>
  <si>
    <t>碧瑤灣</t>
    <phoneticPr fontId="2" type="noConversion"/>
  </si>
  <si>
    <t xml:space="preserve"> 20座</t>
    <phoneticPr fontId="2" type="noConversion"/>
  </si>
  <si>
    <t>中层</t>
    <phoneticPr fontId="2" type="noConversion"/>
  </si>
  <si>
    <t>B室</t>
    <phoneticPr fontId="2" type="noConversion"/>
  </si>
  <si>
    <t>T2</t>
    <phoneticPr fontId="2" type="noConversion"/>
  </si>
  <si>
    <t>豪峰II</t>
    <phoneticPr fontId="2" type="noConversion"/>
  </si>
  <si>
    <t>低层</t>
    <phoneticPr fontId="2" type="noConversion"/>
  </si>
  <si>
    <t>116号</t>
    <phoneticPr fontId="2" type="noConversion"/>
  </si>
  <si>
    <t>C室</t>
    <phoneticPr fontId="2" type="noConversion"/>
  </si>
  <si>
    <t xml:space="preserve">
554</t>
    <phoneticPr fontId="2" type="noConversion"/>
  </si>
  <si>
    <t>A室</t>
    <phoneticPr fontId="2" type="noConversion"/>
  </si>
  <si>
    <t>T1</t>
    <phoneticPr fontId="2" type="noConversion"/>
  </si>
  <si>
    <t>Victoria Coast</t>
    <phoneticPr fontId="2" type="noConversion"/>
  </si>
  <si>
    <t xml:space="preserve">A座 </t>
    <phoneticPr fontId="2" type="noConversion"/>
  </si>
  <si>
    <t xml:space="preserve"> 1室</t>
    <phoneticPr fontId="2" type="noConversion"/>
  </si>
  <si>
    <t xml:space="preserve">
58,000</t>
    <phoneticPr fontId="2" type="noConversion"/>
  </si>
  <si>
    <t>B座</t>
    <phoneticPr fontId="2" type="noConversion"/>
  </si>
  <si>
    <t>1室</t>
    <phoneticPr fontId="2" type="noConversion"/>
  </si>
  <si>
    <t>2室</t>
    <phoneticPr fontId="2" type="noConversion"/>
  </si>
  <si>
    <t>39座</t>
    <phoneticPr fontId="2" type="noConversion"/>
  </si>
  <si>
    <t>高层</t>
    <phoneticPr fontId="2" type="noConversion"/>
  </si>
  <si>
    <t>T3</t>
    <phoneticPr fontId="2" type="noConversion"/>
  </si>
  <si>
    <t>40座</t>
    <phoneticPr fontId="2" type="noConversion"/>
  </si>
  <si>
    <t>中层</t>
  </si>
  <si>
    <t xml:space="preserve"> E室</t>
    <phoneticPr fontId="2" type="noConversion"/>
  </si>
  <si>
    <t xml:space="preserve"> N室</t>
    <phoneticPr fontId="2" type="noConversion"/>
  </si>
  <si>
    <t>G室</t>
    <phoneticPr fontId="2" type="noConversion"/>
  </si>
  <si>
    <t>D室</t>
  </si>
  <si>
    <t>2座</t>
    <phoneticPr fontId="2" type="noConversion"/>
  </si>
  <si>
    <t xml:space="preserve">T1 </t>
    <phoneticPr fontId="2" type="noConversion"/>
  </si>
  <si>
    <t>1座</t>
    <phoneticPr fontId="2" type="noConversion"/>
  </si>
  <si>
    <t xml:space="preserve"> 高层</t>
    <phoneticPr fontId="2" type="noConversion"/>
  </si>
  <si>
    <t xml:space="preserve">2座 </t>
    <phoneticPr fontId="2" type="noConversion"/>
  </si>
  <si>
    <t xml:space="preserve"> C室</t>
    <phoneticPr fontId="2" type="noConversion"/>
  </si>
  <si>
    <t xml:space="preserve">T0 </t>
    <phoneticPr fontId="2" type="noConversion"/>
  </si>
  <si>
    <t xml:space="preserve">A室
</t>
    <phoneticPr fontId="2" type="noConversion"/>
  </si>
  <si>
    <t>J室</t>
  </si>
  <si>
    <t>美琳園（又名美琳苑）</t>
    <phoneticPr fontId="2" type="noConversion"/>
  </si>
  <si>
    <r>
      <t>備註：嘉琳閣和豪峰二期距離項目最近，最近租樓成交均於</t>
    </r>
    <r>
      <rPr>
        <sz val="12"/>
        <color theme="1"/>
        <rFont val="Microsoft YaHei"/>
        <family val="1"/>
        <charset val="134"/>
      </rPr>
      <t>2024年，租樓空缺時間較長，市場活躍度較低。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</si>
</sst>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_);[Red]\(0\)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1"/>
      <charset val="134"/>
    </font>
    <font>
      <b/>
      <sz val="12"/>
      <color theme="1"/>
      <name val="新細明體"/>
      <family val="1"/>
      <charset val="136"/>
      <scheme val="minor"/>
    </font>
    <font>
      <sz val="12"/>
      <color rgb="FF333333"/>
      <name val="新細明體"/>
      <family val="1"/>
      <charset val="136"/>
      <scheme val="minor"/>
    </font>
    <font>
      <sz val="12"/>
      <color rgb="FF333333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297-9D3D-4370-A824-CBAA82F09880}">
  <dimension ref="A1:L24"/>
  <sheetViews>
    <sheetView tabSelected="1" workbookViewId="0">
      <selection activeCell="A23" sqref="A23:L24"/>
    </sheetView>
  </sheetViews>
  <sheetFormatPr defaultRowHeight="16.5" x14ac:dyDescent="0.25"/>
  <cols>
    <col min="1" max="1" width="5.5" style="1" bestFit="1" customWidth="1"/>
    <col min="2" max="2" width="22.75" style="1" bestFit="1" customWidth="1"/>
    <col min="3" max="3" width="9.5" style="1" bestFit="1" customWidth="1"/>
    <col min="4" max="4" width="6" style="1" bestFit="1" customWidth="1"/>
    <col min="5" max="5" width="5.5" style="1" bestFit="1" customWidth="1"/>
    <col min="6" max="6" width="9.5" style="1" bestFit="1" customWidth="1"/>
    <col min="7" max="7" width="5.5" style="1" bestFit="1" customWidth="1"/>
    <col min="8" max="8" width="9.5" style="1" bestFit="1" customWidth="1"/>
    <col min="9" max="9" width="5.5" style="1" bestFit="1" customWidth="1"/>
    <col min="10" max="10" width="7" style="1" bestFit="1" customWidth="1"/>
    <col min="11" max="11" width="9.5" style="1" bestFit="1" customWidth="1"/>
    <col min="12" max="12" width="26.625" style="1" bestFit="1" customWidth="1"/>
    <col min="13" max="16384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</v>
      </c>
      <c r="B2" s="3" t="s">
        <v>12</v>
      </c>
      <c r="C2" s="4">
        <v>46113</v>
      </c>
      <c r="D2" s="2"/>
      <c r="E2" s="2" t="s">
        <v>22</v>
      </c>
      <c r="F2" s="5" t="s">
        <v>19</v>
      </c>
      <c r="G2" s="2" t="s">
        <v>27</v>
      </c>
      <c r="H2" s="2">
        <v>385</v>
      </c>
      <c r="I2" s="2">
        <v>1</v>
      </c>
      <c r="J2" s="6">
        <v>29500</v>
      </c>
      <c r="K2" s="2">
        <v>77</v>
      </c>
      <c r="L2" s="7">
        <f xml:space="preserve"> K2*1.1</f>
        <v>84.7</v>
      </c>
    </row>
    <row r="3" spans="1:12" ht="33" x14ac:dyDescent="0.25">
      <c r="A3" s="3"/>
      <c r="B3" s="3"/>
      <c r="C3" s="8">
        <v>46096</v>
      </c>
      <c r="D3" s="2"/>
      <c r="E3" s="2" t="s">
        <v>36</v>
      </c>
      <c r="F3" s="9" t="s">
        <v>51</v>
      </c>
      <c r="G3" s="2" t="s">
        <v>20</v>
      </c>
      <c r="H3" s="2">
        <v>524</v>
      </c>
      <c r="I3" s="2">
        <v>1</v>
      </c>
      <c r="J3" s="6">
        <v>35500</v>
      </c>
      <c r="K3" s="2">
        <v>67</v>
      </c>
      <c r="L3" s="7">
        <f t="shared" ref="L3:L21" si="0" xml:space="preserve"> K3*1.1</f>
        <v>73.7</v>
      </c>
    </row>
    <row r="4" spans="1:12" x14ac:dyDescent="0.25">
      <c r="A4" s="3"/>
      <c r="B4" s="3"/>
      <c r="C4" s="8">
        <v>45870</v>
      </c>
      <c r="D4" s="2"/>
      <c r="E4" s="2" t="s">
        <v>18</v>
      </c>
      <c r="F4" s="10" t="s">
        <v>52</v>
      </c>
      <c r="G4" s="2" t="s">
        <v>50</v>
      </c>
      <c r="H4" s="2">
        <v>215</v>
      </c>
      <c r="I4" s="2">
        <v>1</v>
      </c>
      <c r="J4" s="6">
        <v>16500</v>
      </c>
      <c r="K4" s="2">
        <v>77</v>
      </c>
      <c r="L4" s="7">
        <f t="shared" si="0"/>
        <v>84.7</v>
      </c>
    </row>
    <row r="5" spans="1:12" x14ac:dyDescent="0.25">
      <c r="A5" s="3">
        <v>2</v>
      </c>
      <c r="B5" s="3" t="s">
        <v>13</v>
      </c>
      <c r="C5" s="11">
        <v>46182</v>
      </c>
      <c r="D5" s="2" t="s">
        <v>44</v>
      </c>
      <c r="E5" s="2" t="s">
        <v>22</v>
      </c>
      <c r="F5" s="2" t="s">
        <v>19</v>
      </c>
      <c r="G5" s="2" t="s">
        <v>45</v>
      </c>
      <c r="H5" s="2">
        <v>332</v>
      </c>
      <c r="I5" s="2">
        <v>6</v>
      </c>
      <c r="J5" s="6">
        <v>23500</v>
      </c>
      <c r="K5" s="2">
        <v>71</v>
      </c>
      <c r="L5" s="7">
        <f t="shared" si="0"/>
        <v>78.100000000000009</v>
      </c>
    </row>
    <row r="6" spans="1:12" x14ac:dyDescent="0.25">
      <c r="A6" s="3"/>
      <c r="B6" s="3"/>
      <c r="C6" s="8">
        <v>46174</v>
      </c>
      <c r="D6" s="2" t="s">
        <v>46</v>
      </c>
      <c r="E6" s="2" t="s">
        <v>47</v>
      </c>
      <c r="F6" s="2" t="s">
        <v>19</v>
      </c>
      <c r="G6" s="2" t="s">
        <v>45</v>
      </c>
      <c r="H6" s="2">
        <v>334</v>
      </c>
      <c r="I6" s="2">
        <v>6</v>
      </c>
      <c r="J6" s="6">
        <v>25139</v>
      </c>
      <c r="K6" s="2">
        <v>75</v>
      </c>
      <c r="L6" s="7">
        <f t="shared" si="0"/>
        <v>82.5</v>
      </c>
    </row>
    <row r="7" spans="1:12" x14ac:dyDescent="0.25">
      <c r="A7" s="3"/>
      <c r="B7" s="3"/>
      <c r="C7" s="8">
        <v>46174</v>
      </c>
      <c r="D7" s="2" t="s">
        <v>48</v>
      </c>
      <c r="E7" s="2" t="s">
        <v>39</v>
      </c>
      <c r="F7" s="2" t="s">
        <v>49</v>
      </c>
      <c r="G7" s="2" t="s">
        <v>50</v>
      </c>
      <c r="H7" s="2">
        <v>225</v>
      </c>
      <c r="I7" s="2">
        <v>6</v>
      </c>
      <c r="J7" s="6">
        <v>27000</v>
      </c>
      <c r="K7" s="2">
        <v>79</v>
      </c>
      <c r="L7" s="7">
        <f t="shared" si="0"/>
        <v>86.9</v>
      </c>
    </row>
    <row r="8" spans="1:12" x14ac:dyDescent="0.25">
      <c r="A8" s="3">
        <v>3</v>
      </c>
      <c r="B8" s="3" t="s">
        <v>14</v>
      </c>
      <c r="C8" s="4">
        <v>46183</v>
      </c>
      <c r="D8" s="2"/>
      <c r="E8" s="2" t="s">
        <v>36</v>
      </c>
      <c r="F8" s="2" t="s">
        <v>41</v>
      </c>
      <c r="G8" s="2" t="s">
        <v>27</v>
      </c>
      <c r="H8" s="2">
        <v>300</v>
      </c>
      <c r="I8" s="2">
        <v>3</v>
      </c>
      <c r="J8" s="2">
        <v>27000</v>
      </c>
      <c r="K8" s="2">
        <v>90</v>
      </c>
      <c r="L8" s="7">
        <f t="shared" si="0"/>
        <v>99.000000000000014</v>
      </c>
    </row>
    <row r="9" spans="1:12" x14ac:dyDescent="0.25">
      <c r="A9" s="3"/>
      <c r="B9" s="3"/>
      <c r="C9" s="8">
        <v>46174</v>
      </c>
      <c r="D9" s="2"/>
      <c r="E9" s="2" t="s">
        <v>39</v>
      </c>
      <c r="F9" s="2" t="s">
        <v>42</v>
      </c>
      <c r="G9" s="2" t="s">
        <v>27</v>
      </c>
      <c r="H9" s="2">
        <v>292</v>
      </c>
      <c r="I9" s="2">
        <v>3</v>
      </c>
      <c r="J9" s="6">
        <v>23500</v>
      </c>
      <c r="K9" s="2">
        <v>80</v>
      </c>
      <c r="L9" s="7">
        <f t="shared" si="0"/>
        <v>88</v>
      </c>
    </row>
    <row r="10" spans="1:12" x14ac:dyDescent="0.25">
      <c r="A10" s="3"/>
      <c r="B10" s="3"/>
      <c r="C10" s="8">
        <v>46174</v>
      </c>
      <c r="D10" s="2"/>
      <c r="E10" s="2" t="s">
        <v>36</v>
      </c>
      <c r="F10" s="2" t="s">
        <v>43</v>
      </c>
      <c r="G10" s="2" t="s">
        <v>27</v>
      </c>
      <c r="H10" s="2">
        <v>333</v>
      </c>
      <c r="I10" s="2">
        <v>3</v>
      </c>
      <c r="J10" s="6">
        <v>26000</v>
      </c>
      <c r="K10" s="2">
        <v>79</v>
      </c>
      <c r="L10" s="7">
        <f t="shared" si="0"/>
        <v>86.9</v>
      </c>
    </row>
    <row r="11" spans="1:12" x14ac:dyDescent="0.25">
      <c r="A11" s="2">
        <v>4</v>
      </c>
      <c r="B11" s="2" t="s">
        <v>15</v>
      </c>
      <c r="C11" s="8">
        <v>45444</v>
      </c>
      <c r="D11" s="2"/>
      <c r="E11" s="2" t="s">
        <v>18</v>
      </c>
      <c r="F11" s="2" t="s">
        <v>40</v>
      </c>
      <c r="G11" s="2"/>
      <c r="H11" s="6">
        <v>1032</v>
      </c>
      <c r="I11" s="2">
        <v>61</v>
      </c>
      <c r="J11" s="6">
        <v>33200</v>
      </c>
      <c r="K11" s="2">
        <v>32</v>
      </c>
      <c r="L11" s="7">
        <f t="shared" si="0"/>
        <v>35.200000000000003</v>
      </c>
    </row>
    <row r="12" spans="1:12" x14ac:dyDescent="0.25">
      <c r="A12" s="3">
        <v>5</v>
      </c>
      <c r="B12" s="3" t="s">
        <v>16</v>
      </c>
      <c r="C12" s="8">
        <v>46143</v>
      </c>
      <c r="D12" s="2" t="s">
        <v>17</v>
      </c>
      <c r="E12" s="2" t="s">
        <v>18</v>
      </c>
      <c r="F12" s="2" t="s">
        <v>19</v>
      </c>
      <c r="G12" s="2" t="s">
        <v>20</v>
      </c>
      <c r="H12" s="6">
        <v>906</v>
      </c>
      <c r="I12" s="2">
        <v>46</v>
      </c>
      <c r="J12" s="6">
        <v>38500</v>
      </c>
      <c r="K12" s="2">
        <v>42</v>
      </c>
      <c r="L12" s="7">
        <f t="shared" si="0"/>
        <v>46.2</v>
      </c>
    </row>
    <row r="13" spans="1:12" x14ac:dyDescent="0.25">
      <c r="A13" s="3"/>
      <c r="B13" s="3"/>
      <c r="C13" s="8">
        <v>46174</v>
      </c>
      <c r="D13" s="2" t="s">
        <v>35</v>
      </c>
      <c r="E13" s="2" t="s">
        <v>36</v>
      </c>
      <c r="F13" s="2"/>
      <c r="G13" s="2" t="s">
        <v>37</v>
      </c>
      <c r="H13" s="6">
        <v>1334</v>
      </c>
      <c r="I13" s="2">
        <v>51</v>
      </c>
      <c r="J13" s="6">
        <v>58000</v>
      </c>
      <c r="K13" s="2">
        <v>43</v>
      </c>
      <c r="L13" s="7">
        <f t="shared" si="0"/>
        <v>47.300000000000004</v>
      </c>
    </row>
    <row r="14" spans="1:12" x14ac:dyDescent="0.25">
      <c r="A14" s="3"/>
      <c r="B14" s="3"/>
      <c r="C14" s="4">
        <v>46143</v>
      </c>
      <c r="D14" s="2" t="s">
        <v>38</v>
      </c>
      <c r="E14" s="2" t="s">
        <v>36</v>
      </c>
      <c r="F14" s="2"/>
      <c r="G14" s="2" t="s">
        <v>37</v>
      </c>
      <c r="H14" s="6">
        <v>1296</v>
      </c>
      <c r="I14" s="2">
        <v>51</v>
      </c>
      <c r="J14" s="6">
        <v>50000</v>
      </c>
      <c r="K14" s="2">
        <v>39</v>
      </c>
      <c r="L14" s="7">
        <f t="shared" si="0"/>
        <v>42.900000000000006</v>
      </c>
    </row>
    <row r="15" spans="1:12" x14ac:dyDescent="0.25">
      <c r="A15" s="2">
        <v>6</v>
      </c>
      <c r="B15" s="2" t="s">
        <v>21</v>
      </c>
      <c r="C15" s="8">
        <v>45597</v>
      </c>
      <c r="D15" s="2"/>
      <c r="E15" s="2" t="s">
        <v>22</v>
      </c>
      <c r="F15" s="2" t="s">
        <v>23</v>
      </c>
      <c r="G15" s="2"/>
      <c r="H15" s="6">
        <v>1184</v>
      </c>
      <c r="I15" s="2">
        <v>24</v>
      </c>
      <c r="J15" s="6">
        <v>47000</v>
      </c>
      <c r="K15" s="6">
        <v>40</v>
      </c>
      <c r="L15" s="7">
        <f t="shared" si="0"/>
        <v>44</v>
      </c>
    </row>
    <row r="16" spans="1:12" x14ac:dyDescent="0.25">
      <c r="A16" s="3">
        <v>7</v>
      </c>
      <c r="B16" s="3" t="s">
        <v>53</v>
      </c>
      <c r="C16" s="8">
        <v>45402</v>
      </c>
      <c r="D16" s="2"/>
      <c r="E16" s="2"/>
      <c r="F16" s="2" t="s">
        <v>19</v>
      </c>
      <c r="G16" s="2"/>
      <c r="H16" s="2">
        <v>353</v>
      </c>
      <c r="I16" s="2">
        <v>29</v>
      </c>
      <c r="J16" s="6">
        <v>16300</v>
      </c>
      <c r="K16" s="6">
        <v>46</v>
      </c>
      <c r="L16" s="7">
        <f t="shared" si="0"/>
        <v>50.6</v>
      </c>
    </row>
    <row r="17" spans="1:12" ht="33" x14ac:dyDescent="0.25">
      <c r="A17" s="3"/>
      <c r="B17" s="3"/>
      <c r="C17" s="8">
        <v>45555</v>
      </c>
      <c r="D17" s="2"/>
      <c r="E17" s="2"/>
      <c r="F17" s="2" t="s">
        <v>24</v>
      </c>
      <c r="G17" s="2" t="s">
        <v>20</v>
      </c>
      <c r="H17" s="9" t="s">
        <v>25</v>
      </c>
      <c r="I17" s="2">
        <v>30</v>
      </c>
      <c r="J17" s="6">
        <v>23000</v>
      </c>
      <c r="K17" s="6">
        <v>42</v>
      </c>
      <c r="L17" s="7">
        <f t="shared" si="0"/>
        <v>46.2</v>
      </c>
    </row>
    <row r="18" spans="1:12" x14ac:dyDescent="0.25">
      <c r="A18" s="3"/>
      <c r="B18" s="3"/>
      <c r="C18" s="8">
        <v>45320</v>
      </c>
      <c r="D18" s="2"/>
      <c r="E18" s="2"/>
      <c r="F18" s="2" t="s">
        <v>26</v>
      </c>
      <c r="G18" s="2" t="s">
        <v>27</v>
      </c>
      <c r="H18" s="2">
        <v>517</v>
      </c>
      <c r="I18" s="2">
        <v>30</v>
      </c>
      <c r="J18" s="6">
        <v>18000</v>
      </c>
      <c r="K18" s="2">
        <v>35</v>
      </c>
      <c r="L18" s="7">
        <f t="shared" si="0"/>
        <v>38.5</v>
      </c>
    </row>
    <row r="19" spans="1:12" ht="33" x14ac:dyDescent="0.25">
      <c r="A19" s="3">
        <v>8</v>
      </c>
      <c r="B19" s="3" t="s">
        <v>28</v>
      </c>
      <c r="C19" s="12">
        <v>46113</v>
      </c>
      <c r="D19" s="2" t="s">
        <v>29</v>
      </c>
      <c r="E19" s="2" t="s">
        <v>18</v>
      </c>
      <c r="F19" s="2" t="s">
        <v>30</v>
      </c>
      <c r="G19" s="2" t="s">
        <v>20</v>
      </c>
      <c r="H19" s="6">
        <v>1363</v>
      </c>
      <c r="I19" s="2">
        <v>37</v>
      </c>
      <c r="J19" s="9" t="s">
        <v>31</v>
      </c>
      <c r="K19" s="9">
        <v>43</v>
      </c>
      <c r="L19" s="7">
        <f t="shared" si="0"/>
        <v>47.300000000000004</v>
      </c>
    </row>
    <row r="20" spans="1:12" x14ac:dyDescent="0.25">
      <c r="A20" s="3"/>
      <c r="B20" s="3"/>
      <c r="C20" s="8">
        <v>45717</v>
      </c>
      <c r="D20" s="2" t="s">
        <v>32</v>
      </c>
      <c r="E20" s="2" t="s">
        <v>22</v>
      </c>
      <c r="F20" s="2" t="s">
        <v>33</v>
      </c>
      <c r="G20" s="2" t="s">
        <v>20</v>
      </c>
      <c r="H20" s="6">
        <v>1356</v>
      </c>
      <c r="I20" s="2">
        <v>37</v>
      </c>
      <c r="J20" s="6">
        <v>51000</v>
      </c>
      <c r="K20" s="2">
        <v>38</v>
      </c>
      <c r="L20" s="7">
        <f t="shared" si="0"/>
        <v>41.800000000000004</v>
      </c>
    </row>
    <row r="21" spans="1:12" x14ac:dyDescent="0.25">
      <c r="A21" s="3"/>
      <c r="B21" s="3"/>
      <c r="C21" s="8">
        <v>45703</v>
      </c>
      <c r="D21" s="2" t="s">
        <v>32</v>
      </c>
      <c r="E21" s="2" t="s">
        <v>22</v>
      </c>
      <c r="F21" s="2" t="s">
        <v>34</v>
      </c>
      <c r="G21" s="2" t="s">
        <v>20</v>
      </c>
      <c r="H21" s="6">
        <v>1356</v>
      </c>
      <c r="I21" s="2">
        <v>37</v>
      </c>
      <c r="J21" s="13">
        <v>57000</v>
      </c>
      <c r="K21" s="2">
        <v>42</v>
      </c>
      <c r="L21" s="7">
        <f t="shared" si="0"/>
        <v>46.2</v>
      </c>
    </row>
    <row r="23" spans="1:12" ht="17.25" customHeight="1" x14ac:dyDescent="0.25">
      <c r="A23" s="14" t="s">
        <v>54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</sheetData>
  <mergeCells count="13">
    <mergeCell ref="A23:L24"/>
    <mergeCell ref="A2:A4"/>
    <mergeCell ref="B2:B4"/>
    <mergeCell ref="A5:A7"/>
    <mergeCell ref="B5:B7"/>
    <mergeCell ref="A8:A10"/>
    <mergeCell ref="B8:B10"/>
    <mergeCell ref="A16:A18"/>
    <mergeCell ref="B16:B18"/>
    <mergeCell ref="A19:A21"/>
    <mergeCell ref="B19:B21"/>
    <mergeCell ref="A12:A14"/>
    <mergeCell ref="B12:B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Yujie</dc:creator>
  <cp:lastModifiedBy>XIE, Yujie</cp:lastModifiedBy>
  <dcterms:created xsi:type="dcterms:W3CDTF">2026-06-12T10:45:20Z</dcterms:created>
  <dcterms:modified xsi:type="dcterms:W3CDTF">2026-06-12T11:26:18Z</dcterms:modified>
</cp:coreProperties>
</file>